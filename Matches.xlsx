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7982797A-A556-44B2-95DE-774BC09E7E1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" l="1"/>
  <c r="L2" i="1"/>
  <c r="C2" i="1"/>
  <c r="L4" i="1"/>
  <c r="L5" i="1"/>
  <c r="L6" i="1"/>
  <c r="K4" i="1"/>
  <c r="K5" i="1"/>
  <c r="K6" i="1"/>
  <c r="C4" i="1"/>
  <c r="C5" i="1"/>
  <c r="C6" i="1"/>
  <c r="L3" i="1"/>
  <c r="K3" i="1"/>
  <c r="C3" i="1"/>
</calcChain>
</file>

<file path=xl/sharedStrings.xml><?xml version="1.0" encoding="utf-8"?>
<sst xmlns="http://schemas.openxmlformats.org/spreadsheetml/2006/main" count="44" uniqueCount="34">
  <si>
    <t>fecha</t>
  </si>
  <si>
    <t>match_id</t>
  </si>
  <si>
    <t>video</t>
  </si>
  <si>
    <t>Etapa</t>
  </si>
  <si>
    <t>id_club1</t>
  </si>
  <si>
    <t>id_club2</t>
  </si>
  <si>
    <t>name_club1</t>
  </si>
  <si>
    <t>name_club2</t>
  </si>
  <si>
    <t>npartido</t>
  </si>
  <si>
    <t>match_filter</t>
  </si>
  <si>
    <t>match</t>
  </si>
  <si>
    <t>gol</t>
  </si>
  <si>
    <t>gol_against</t>
  </si>
  <si>
    <t>Amistoso</t>
  </si>
  <si>
    <t>Tiznados FC</t>
  </si>
  <si>
    <t>Distrital</t>
  </si>
  <si>
    <t>Temperley</t>
  </si>
  <si>
    <t xml:space="preserve">https://youtu.be/NEaSJNpXzsk </t>
  </si>
  <si>
    <t>Propio</t>
  </si>
  <si>
    <t>True</t>
  </si>
  <si>
    <t>False</t>
  </si>
  <si>
    <t>Cantolao</t>
  </si>
  <si>
    <t>ADEPA</t>
  </si>
  <si>
    <t>White Star</t>
  </si>
  <si>
    <t>FBC Pierola</t>
  </si>
  <si>
    <t xml:space="preserve">https://youtu.be/4A_U7duurO8 </t>
  </si>
  <si>
    <t xml:space="preserve">https://youtu.be/y9JpXY4J4NI </t>
  </si>
  <si>
    <t xml:space="preserve">https://youtu.be/5qZ0gl1jhqg </t>
  </si>
  <si>
    <t>FBC Aurora</t>
  </si>
  <si>
    <t>Atl. Universidad</t>
  </si>
  <si>
    <t>fecha 1</t>
  </si>
  <si>
    <t>jornada</t>
  </si>
  <si>
    <t>J. Bellapampa</t>
  </si>
  <si>
    <t xml:space="preserve">https://youtu.be/fE4Ma9vXx1w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</si>
</sst>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1"/>
    <xf numFmtId="14" fontId="0" fillId="0" borderId="0" xfId="0" applyNumberFormat="1" applyFont="1"/>
    <xf numFmtId="0" fontId="0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y9JpXY4J4NI" TargetMode="External"/><Relationship Id="rId2" Type="http://schemas.openxmlformats.org/officeDocument/2006/relationships/hyperlink" Target="https://youtu.be/4A_U7duurO8" TargetMode="External"/><Relationship Id="rId1" Type="http://schemas.openxmlformats.org/officeDocument/2006/relationships/hyperlink" Target="https://youtu.be/NEaSJNpXzsk" TargetMode="External"/><Relationship Id="rId5" Type="http://schemas.openxmlformats.org/officeDocument/2006/relationships/hyperlink" Target="https://youtu.be/fE4Ma9vXx1w" TargetMode="External"/><Relationship Id="rId4" Type="http://schemas.openxmlformats.org/officeDocument/2006/relationships/hyperlink" Target="https://youtu.be/5qZ0gl1jhq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"/>
  <sheetViews>
    <sheetView tabSelected="1" topLeftCell="B1" workbookViewId="0">
      <selection activeCell="F17" sqref="F17"/>
    </sheetView>
  </sheetViews>
  <sheetFormatPr baseColWidth="10" defaultColWidth="9.140625" defaultRowHeight="15" x14ac:dyDescent="0.25"/>
  <cols>
    <col min="1" max="1" width="10.7109375" bestFit="1" customWidth="1"/>
    <col min="2" max="2" width="10.7109375" customWidth="1"/>
    <col min="3" max="3" width="12" bestFit="1" customWidth="1"/>
    <col min="4" max="4" width="34.140625" customWidth="1"/>
    <col min="8" max="8" width="17.5703125" bestFit="1" customWidth="1"/>
    <col min="9" max="9" width="14.7109375" bestFit="1" customWidth="1"/>
    <col min="11" max="11" width="19" bestFit="1" customWidth="1"/>
    <col min="12" max="12" width="17.140625" bestFit="1" customWidth="1"/>
    <col min="13" max="13" width="7.42578125" customWidth="1"/>
  </cols>
  <sheetData>
    <row r="1" spans="1:15" x14ac:dyDescent="0.25">
      <c r="A1" s="1" t="s">
        <v>0</v>
      </c>
      <c r="B1" s="1" t="s">
        <v>31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18</v>
      </c>
    </row>
    <row r="2" spans="1:15" s="5" customFormat="1" x14ac:dyDescent="0.25">
      <c r="A2" s="4">
        <v>46071</v>
      </c>
      <c r="C2" s="2" t="str">
        <f>CONCATENATE(F2,A2)</f>
        <v>146071</v>
      </c>
      <c r="D2" s="3" t="s">
        <v>33</v>
      </c>
      <c r="E2" s="5" t="s">
        <v>13</v>
      </c>
      <c r="F2" s="5">
        <v>1</v>
      </c>
      <c r="H2" s="5" t="s">
        <v>21</v>
      </c>
      <c r="I2" s="5" t="s">
        <v>32</v>
      </c>
      <c r="J2" s="5">
        <v>0</v>
      </c>
      <c r="K2" t="str">
        <f>CONCATENATE(I2,"_",J2)</f>
        <v>J. Bellapampa_0</v>
      </c>
      <c r="L2" t="str">
        <f>CONCATENATE( "vs ",I2)</f>
        <v>vs J. Bellapampa</v>
      </c>
      <c r="M2" s="5">
        <v>2</v>
      </c>
      <c r="N2" s="5">
        <v>1</v>
      </c>
      <c r="O2" s="5" t="s">
        <v>19</v>
      </c>
    </row>
    <row r="3" spans="1:15" x14ac:dyDescent="0.25">
      <c r="A3" s="2">
        <v>46074</v>
      </c>
      <c r="B3" s="2" t="s">
        <v>30</v>
      </c>
      <c r="C3" s="2" t="str">
        <f>CONCATENATE(F3,A3)</f>
        <v>046074</v>
      </c>
      <c r="D3" s="3" t="s">
        <v>17</v>
      </c>
      <c r="E3" t="s">
        <v>15</v>
      </c>
      <c r="F3">
        <v>0</v>
      </c>
      <c r="H3" t="s">
        <v>14</v>
      </c>
      <c r="I3" t="s">
        <v>16</v>
      </c>
      <c r="K3" t="str">
        <f>CONCATENATE(I3,"_",J3)</f>
        <v>Temperley_</v>
      </c>
      <c r="L3" t="str">
        <f>CONCATENATE( "vs ",I3)</f>
        <v>vs Temperley</v>
      </c>
      <c r="M3">
        <v>5</v>
      </c>
      <c r="N3">
        <v>0</v>
      </c>
      <c r="O3" t="s">
        <v>20</v>
      </c>
    </row>
    <row r="4" spans="1:15" x14ac:dyDescent="0.25">
      <c r="A4" s="2">
        <v>46074</v>
      </c>
      <c r="B4" s="2" t="s">
        <v>30</v>
      </c>
      <c r="C4" s="2" t="str">
        <f t="shared" ref="C4:C6" si="0">CONCATENATE(F4,A4)</f>
        <v>146074</v>
      </c>
      <c r="D4" s="3" t="s">
        <v>25</v>
      </c>
      <c r="E4" t="s">
        <v>15</v>
      </c>
      <c r="F4">
        <v>1</v>
      </c>
      <c r="H4" t="s">
        <v>21</v>
      </c>
      <c r="I4" t="s">
        <v>22</v>
      </c>
      <c r="J4">
        <v>1</v>
      </c>
      <c r="K4" t="str">
        <f t="shared" ref="K4:K6" si="1">CONCATENATE(I4,"_",J4)</f>
        <v>ADEPA_1</v>
      </c>
      <c r="L4" t="str">
        <f t="shared" ref="L4:L6" si="2">CONCATENATE( "vs ",I4)</f>
        <v>vs ADEPA</v>
      </c>
      <c r="M4">
        <v>1</v>
      </c>
      <c r="N4">
        <v>2</v>
      </c>
      <c r="O4" t="s">
        <v>19</v>
      </c>
    </row>
    <row r="5" spans="1:15" x14ac:dyDescent="0.25">
      <c r="A5" s="2">
        <v>46074</v>
      </c>
      <c r="B5" s="2" t="s">
        <v>30</v>
      </c>
      <c r="C5" s="2" t="str">
        <f t="shared" si="0"/>
        <v>46074</v>
      </c>
      <c r="D5" s="3" t="s">
        <v>26</v>
      </c>
      <c r="E5" t="s">
        <v>15</v>
      </c>
      <c r="H5" t="s">
        <v>23</v>
      </c>
      <c r="I5" t="s">
        <v>24</v>
      </c>
      <c r="K5" t="str">
        <f t="shared" si="1"/>
        <v>FBC Pierola_</v>
      </c>
      <c r="L5" t="str">
        <f t="shared" si="2"/>
        <v>vs FBC Pierola</v>
      </c>
      <c r="M5">
        <v>1</v>
      </c>
      <c r="N5">
        <v>2</v>
      </c>
      <c r="O5" t="s">
        <v>20</v>
      </c>
    </row>
    <row r="6" spans="1:15" x14ac:dyDescent="0.25">
      <c r="A6" s="2">
        <v>46074</v>
      </c>
      <c r="B6" s="2" t="s">
        <v>30</v>
      </c>
      <c r="C6" s="2" t="str">
        <f t="shared" si="0"/>
        <v>46074</v>
      </c>
      <c r="D6" s="3" t="s">
        <v>27</v>
      </c>
      <c r="E6" t="s">
        <v>15</v>
      </c>
      <c r="H6" t="s">
        <v>28</v>
      </c>
      <c r="I6" t="s">
        <v>29</v>
      </c>
      <c r="K6" t="str">
        <f t="shared" si="1"/>
        <v>Atl. Universidad_</v>
      </c>
      <c r="L6" t="str">
        <f t="shared" si="2"/>
        <v>vs Atl. Universidad</v>
      </c>
      <c r="M6">
        <v>0</v>
      </c>
      <c r="N6">
        <v>1</v>
      </c>
      <c r="O6" t="s">
        <v>20</v>
      </c>
    </row>
  </sheetData>
  <phoneticPr fontId="3" type="noConversion"/>
  <hyperlinks>
    <hyperlink ref="D3" r:id="rId1" xr:uid="{473ABD2C-6F54-49B6-A931-4DAF6AE08896}"/>
    <hyperlink ref="D4" r:id="rId2" xr:uid="{9851E299-9FF1-485E-9BC4-F8EA129EEA6D}"/>
    <hyperlink ref="D5" r:id="rId3" xr:uid="{B11D7526-21E8-40E0-ADE4-CB1FA5073E22}"/>
    <hyperlink ref="D6" r:id="rId4" xr:uid="{6893FB00-92C8-4166-AD25-B61129E8163B}"/>
    <hyperlink ref="D2" r:id="rId5" xr:uid="{F1985E59-87C8-4F74-91AA-7C6C281294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2026-02-24T03:24:46Z</dcterms:modified>
</cp:coreProperties>
</file>